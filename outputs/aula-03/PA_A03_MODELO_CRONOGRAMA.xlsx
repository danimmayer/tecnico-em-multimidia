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895fce0c046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ECE_AQUI" sheetId="1" r:id="Rd8addf717aa54980"/>
    <x:sheet xmlns:r="http://schemas.openxmlformats.org/officeDocument/2006/relationships" name="1_FLUXO" sheetId="2" r:id="R63b8c9b806f44735"/>
    <x:sheet xmlns:r="http://schemas.openxmlformats.org/officeDocument/2006/relationships" name="2_GENEROS" sheetId="3" r:id="Rafff794bc71e4398"/>
    <x:sheet xmlns:r="http://schemas.openxmlformats.org/officeDocument/2006/relationships" name="3_CRONOGRAMA" sheetId="4" r:id="R06f1e919fe984801"/>
    <x:sheet xmlns:r="http://schemas.openxmlformats.org/officeDocument/2006/relationships" name="4_CONFERENCIA" sheetId="5" r:id="Rc3c78daa1cd8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1"/>
      <x:color rgb="FF171915"/>
      <x:name val="Carlito"/>
    </x:font>
    <x:font>
      <x:b/>
      <x:sz val="11"/>
      <x:color rgb="FFFFFFFF"/>
      <x:name val="Carlito"/>
    </x:font>
    <x:font>
      <x:sz val="13"/>
      <x:color rgb="FF171915"/>
      <x:name val="Carlito"/>
    </x:font>
    <x:font>
      <x:sz val="11"/>
      <x:color rgb="FF171915"/>
      <x:name val="Carlito"/>
    </x:font>
    <x:font>
      <x:b/>
      <x:sz val="14"/>
      <x:color rgb="FF171915"/>
      <x:name val="Carlito"/>
    </x:font>
    <x:font>
      <x:b/>
      <x:sz val="12"/>
      <x:color rgb="FFFFFFFF"/>
      <x:name val="Carlito"/>
    </x:font>
    <x:font>
      <x:i/>
      <x:sz val="11"/>
      <x:color rgb="FF5E615A"/>
      <x:name val="Carlito"/>
    </x:font>
    <x:font>
      <x:b/>
      <x:sz val="12"/>
      <x:color rgb="FFD7E94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1915"/>
      </x:patternFill>
    </x:fill>
    <x:fill>
      <x:patternFill patternType="solid">
        <x:fgColor rgb="FFD7E94D"/>
      </x:patternFill>
    </x:fill>
    <x:fill>
      <x:patternFill patternType="solid">
        <x:fgColor rgb="FF2E6F78"/>
      </x:patternFill>
    </x:fill>
    <x:fill>
      <x:patternFill patternType="solid">
        <x:fgColor rgb="FFFFFFFF"/>
      </x:patternFill>
    </x:fill>
    <x:fill>
      <x:patternFill patternType="solid">
        <x:fgColor rgb="FFF45B35"/>
      </x:patternFill>
    </x:fill>
    <x:fill>
      <x:patternFill patternType="solid">
        <x:fgColor rgb="FFDDEDEF"/>
      </x:patternFill>
    </x:fill>
    <x:fill>
      <x:patternFill patternType="solid">
        <x:fgColor rgb="FFF7F3E8"/>
      </x:patternFill>
    </x:fill>
    <x:fill>
      <x:patternFill patternType="solid">
        <x:fgColor rgb="FFFCE4DB"/>
      </x:patternFill>
    </x:fill>
  </x:fills>
  <x:borders count="22">
    <x:border/>
    <x:border>
      <x:left style="thin">
        <x:color rgb="FFC9C7BD"/>
      </x:left>
      <x:top style="thin">
        <x:color rgb="FFC9C7BD"/>
      </x:top>
    </x:border>
    <x:border>
      <x:top style="thin">
        <x:color rgb="FFC9C7BD"/>
      </x:top>
    </x:border>
    <x:border>
      <x:right style="thin">
        <x:color rgb="FFC9C7BD"/>
      </x:right>
      <x:top style="thin">
        <x:color rgb="FFC9C7BD"/>
      </x:top>
    </x:border>
    <x:border>
      <x:left style="thin">
        <x:color rgb="FFC9C7BD"/>
      </x:left>
      <x:bottom style="thin">
        <x:color rgb="FFC9C7BD"/>
      </x:bottom>
    </x:border>
    <x:border>
      <x:bottom style="thin">
        <x:color rgb="FFC9C7BD"/>
      </x:bottom>
    </x:border>
    <x:border>
      <x:right style="thin">
        <x:color rgb="FFC9C7BD"/>
      </x:right>
      <x:bottom style="thin">
        <x:color rgb="FFC9C7BD"/>
      </x:bottom>
    </x:border>
    <x:border>
      <x:left style="thin">
        <x:color rgb="FFC9C7BD"/>
      </x:left>
      <x:right style="thin">
        <x:color rgb="FFC9C7BD"/>
      </x:right>
      <x:top style="thin">
        <x:color rgb="FFC9C7BD"/>
      </x:top>
      <x:bottom style="thin">
        <x:color rgb="FFC9C7B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F45B35"/>
      </x:left>
      <x:top style="medium">
        <x:color rgb="FFF45B35"/>
      </x:top>
      <x:bottom style="medium">
        <x:color rgb="FFF45B35"/>
      </x:bottom>
    </x:border>
    <x:border>
      <x:top style="medium">
        <x:color rgb="FFF45B35"/>
      </x:top>
      <x:bottom style="medium">
        <x:color rgb="FFF45B35"/>
      </x:bottom>
    </x:border>
    <x:border>
      <x:right style="medium">
        <x:color rgb="FFF45B35"/>
      </x:right>
      <x:top style="medium">
        <x:color rgb="FFF45B35"/>
      </x:top>
      <x:bottom style="medium">
        <x:color rgb="FFF45B35"/>
      </x:bottom>
    </x:border>
    <x:border>
      <x:left style="medium">
        <x:color rgb="FFF45B35"/>
      </x:left>
      <x:top style="medium">
        <x:color rgb="FFF45B35"/>
      </x:top>
    </x:border>
    <x:border>
      <x:right style="medium">
        <x:color rgb="FFF45B35"/>
      </x:right>
      <x:top style="medium">
        <x:color rgb="FFF45B35"/>
      </x:top>
    </x:border>
    <x:border>
      <x:left style="medium">
        <x:color rgb="FFF45B35"/>
      </x:left>
      <x:bottom style="medium">
        <x:color rgb="FFF45B35"/>
      </x:bottom>
    </x:border>
    <x:border>
      <x:right style="medium">
        <x:color rgb="FFF45B35"/>
      </x:right>
      <x:bottom style="medium">
        <x:color rgb="FFF45B35"/>
      </x:bottom>
    </x:border>
    <x:border>
      <x:left style="thin">
        <x:color rgb="FFF45B35"/>
      </x:left>
      <x:top style="thin">
        <x:color rgb="FFF45B35"/>
      </x:top>
    </x:border>
    <x:border>
      <x:right style="thin">
        <x:color rgb="FFF45B35"/>
      </x:right>
      <x:top style="thin">
        <x:color rgb="FFF45B35"/>
      </x:top>
    </x:border>
    <x:border>
      <x:left style="thin">
        <x:color rgb="FFF45B35"/>
      </x:left>
    </x:border>
    <x:border>
      <x:right style="thin">
        <x:color rgb="FFF45B35"/>
      </x:right>
    </x:border>
    <x:border>
      <x:left style="thin">
        <x:color rgb="FFF45B35"/>
      </x:left>
      <x:bottom style="thin">
        <x:color rgb="FFF45B35"/>
      </x:bottom>
    </x:border>
    <x:border>
      <x:right style="thin">
        <x:color rgb="FFF45B35"/>
      </x:right>
      <x:bottom style="thin">
        <x:color rgb="FFF45B35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5" borderId="7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2" fillId="7" borderId="7" xfId="0" applyNumberFormat="1" applyFont="1" applyFill="1" applyBorder="1"/>
    <x:xf numFmtId="0" fontId="2" fillId="7" borderId="7" xfId="0" applyNumberFormat="1" applyFont="1" applyFill="1" applyBorder="1" applyAlignment="1">
      <x:alignment horizontal="center"/>
    </x:xf>
    <x:xf numFmtId="0" fontId="2" fillId="7" borderId="7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9" xfId="0" applyNumberFormat="1" applyFont="1" applyFill="1" applyBorder="1"/>
    <x:xf numFmtId="0" fontId="6" fillId="9" borderId="10" xfId="0" applyNumberFormat="1" applyFont="1" applyFill="1" applyBorder="1"/>
    <x:xf numFmtId="0" fontId="6" fillId="9" borderId="11" xfId="0" applyNumberFormat="1" applyFont="1" applyFill="1" applyBorder="1"/>
    <x:xf numFmtId="0" fontId="6" fillId="9" borderId="9" xfId="0" applyNumberFormat="1" applyFont="1" applyFill="1" applyBorder="1" applyAlignment="1">
      <x:alignment horizontal="center"/>
    </x:xf>
    <x:xf numFmtId="0" fontId="6" fillId="9" borderId="10" xfId="0" applyNumberFormat="1" applyFont="1" applyFill="1" applyBorder="1" applyAlignment="1">
      <x:alignment horizontal="center"/>
    </x:xf>
    <x:xf numFmtId="0" fontId="6" fillId="9" borderId="11" xfId="0" applyNumberFormat="1" applyFont="1" applyFill="1" applyBorder="1" applyAlignment="1">
      <x:alignment horizontal="center"/>
    </x:xf>
    <x:xf numFmtId="0" fontId="6" fillId="9" borderId="9" xfId="0" applyNumberFormat="1" applyFont="1" applyFill="1" applyBorder="1" applyAlignment="1">
      <x:alignment horizontal="center" vertical="center"/>
    </x:xf>
    <x:xf numFmtId="0" fontId="6" fillId="9" borderId="10" xfId="0" applyNumberFormat="1" applyFont="1" applyFill="1" applyBorder="1" applyAlignment="1">
      <x:alignment horizontal="center" vertical="center"/>
    </x:xf>
    <x:xf numFmtId="0" fontId="6" fillId="9" borderId="11" xfId="0" applyNumberFormat="1" applyFont="1" applyFill="1" applyBorder="1" applyAlignment="1">
      <x:alignment horizontal="center" vertical="center"/>
    </x:xf>
    <x:xf numFmtId="0" fontId="2" fillId="7" borderId="7" xfId="0" applyNumberFormat="1" applyFont="1" applyFill="1" applyBorder="1" applyAlignment="1">
      <x:alignment wrapText="1"/>
    </x:xf>
    <x:xf numFmtId="0" fontId="2" fillId="7" borderId="7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7" xfId="0" applyNumberFormat="1" applyFont="1" applyFill="1" applyBorder="1"/>
    <x:xf numFmtId="0" fontId="8" fillId="8" borderId="7" xfId="0" applyNumberFormat="1" applyFont="1" applyFill="1" applyBorder="1" applyAlignment="1">
      <x:alignment wrapText="1"/>
    </x:xf>
    <x:xf numFmtId="0" fontId="8" fillId="8" borderId="7" xfId="0" applyNumberFormat="1" applyFont="1" applyFill="1" applyBorder="1" applyAlignment="1">
      <x:alignment vertical="top" wrapText="1"/>
    </x:xf>
    <x:xf numFmtId="0" fontId="5" fillId="8" borderId="7" xfId="0" applyNumberFormat="1" applyFont="1" applyFill="1" applyBorder="1" applyAlignment="1">
      <x:alignment vertical="top" wrapText="1"/>
    </x:xf>
    <x:xf numFmtId="0" fontId="2" fillId="8" borderId="7" xfId="0" applyNumberFormat="1" applyFont="1" applyFill="1" applyBorder="1" applyAlignment="1">
      <x:alignment vertical="top" wrapText="1"/>
    </x:xf>
    <x:xf numFmtId="0" fontId="2" fillId="8" borderId="7" xfId="0" applyNumberFormat="1" applyFont="1" applyFill="1" applyBorder="1" applyAlignment="1">
      <x:alignment horizontal="center" vertical="top" wrapText="1"/>
    </x:xf>
    <x:xf numFmtId="0" fontId="2" fillId="8" borderId="7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/>
    <x:xf numFmtId="0" fontId="2" fillId="5" borderId="7" xfId="0" applyNumberFormat="1" applyFont="1" applyFill="1" applyBorder="1"/>
    <x:xf numFmtId="0" fontId="2" fillId="5" borderId="7" xfId="0" applyNumberFormat="1" applyFont="1" applyFill="1" applyBorder="1" applyAlignment="1">
      <x:alignment horizontal="center"/>
    </x:xf>
    <x:xf numFmtId="0" fontId="6" fillId="9" borderId="12" xfId="0" applyNumberFormat="1" applyFont="1" applyFill="1" applyBorder="1"/>
    <x:xf numFmtId="0" fontId="6" fillId="9" borderId="13" xfId="0" applyNumberFormat="1" applyFont="1" applyFill="1" applyBorder="1"/>
    <x:xf numFmtId="0" fontId="6" fillId="9" borderId="14" xfId="0" applyNumberFormat="1" applyFont="1" applyFill="1" applyBorder="1"/>
    <x:xf numFmtId="0" fontId="6" fillId="9" borderId="15" xfId="0" applyNumberFormat="1" applyFont="1" applyFill="1" applyBorder="1"/>
    <x:xf numFmtId="0" fontId="6" fillId="9" borderId="12" xfId="0" applyNumberFormat="1" applyFont="1" applyFill="1" applyBorder="1" applyAlignment="1">
      <x:alignment horizontal="center"/>
    </x:xf>
    <x:xf numFmtId="0" fontId="6" fillId="9" borderId="13" xfId="0" applyNumberFormat="1" applyFont="1" applyFill="1" applyBorder="1" applyAlignment="1">
      <x:alignment horizontal="center"/>
    </x:xf>
    <x:xf numFmtId="0" fontId="6" fillId="9" borderId="14" xfId="0" applyNumberFormat="1" applyFont="1" applyFill="1" applyBorder="1" applyAlignment="1">
      <x:alignment horizontal="center"/>
    </x:xf>
    <x:xf numFmtId="0" fontId="6" fillId="9" borderId="15" xfId="0" applyNumberFormat="1" applyFont="1" applyFill="1" applyBorder="1" applyAlignment="1">
      <x:alignment horizontal="center"/>
    </x:xf>
    <x:xf numFmtId="0" fontId="6" fillId="9" borderId="12" xfId="0" applyNumberFormat="1" applyFont="1" applyFill="1" applyBorder="1" applyAlignment="1">
      <x:alignment horizontal="center" vertical="center"/>
    </x:xf>
    <x:xf numFmtId="0" fontId="6" fillId="9" borderId="13" xfId="0" applyNumberFormat="1" applyFont="1" applyFill="1" applyBorder="1" applyAlignment="1">
      <x:alignment horizontal="center" vertical="center"/>
    </x:xf>
    <x:xf numFmtId="0" fontId="6" fillId="9" borderId="14" xfId="0" applyNumberFormat="1" applyFont="1" applyFill="1" applyBorder="1" applyAlignment="1">
      <x:alignment horizontal="center" vertical="center"/>
    </x:xf>
    <x:xf numFmtId="0" fontId="6" fillId="9" borderId="15" xfId="0" applyNumberFormat="1" applyFont="1" applyFill="1" applyBorder="1" applyAlignment="1">
      <x:alignment horizontal="center" vertical="center"/>
    </x:xf>
    <x:xf numFmtId="0" fontId="5" fillId="9" borderId="0" xfId="0" applyNumberFormat="1" applyFont="1" applyFill="1" applyBorder="1"/>
    <x:xf numFmtId="0" fontId="5" fillId="9" borderId="16" xfId="0" applyNumberFormat="1" applyFont="1" applyFill="1" applyBorder="1"/>
    <x:xf numFmtId="0" fontId="5" fillId="9" borderId="17" xfId="0" applyNumberFormat="1" applyFont="1" applyFill="1" applyBorder="1"/>
    <x:xf numFmtId="0" fontId="5" fillId="9" borderId="18" xfId="0" applyNumberFormat="1" applyFont="1" applyFill="1" applyBorder="1"/>
    <x:xf numFmtId="0" fontId="5" fillId="9" borderId="19" xfId="0" applyNumberFormat="1" applyFont="1" applyFill="1" applyBorder="1"/>
    <x:xf numFmtId="0" fontId="5" fillId="9" borderId="20" xfId="0" applyNumberFormat="1" applyFont="1" applyFill="1" applyBorder="1"/>
    <x:xf numFmtId="0" fontId="5" fillId="9" borderId="21" xfId="0" applyNumberFormat="1" applyFont="1" applyFill="1" applyBorder="1"/>
    <x:xf numFmtId="0" fontId="5" fillId="9" borderId="16" xfId="0" applyNumberFormat="1" applyFont="1" applyFill="1" applyBorder="1" applyAlignment="1">
      <x:alignment wrapText="1"/>
    </x:xf>
    <x:xf numFmtId="0" fontId="5" fillId="9" borderId="17" xfId="0" applyNumberFormat="1" applyFont="1" applyFill="1" applyBorder="1" applyAlignment="1">
      <x:alignment wrapText="1"/>
    </x:xf>
    <x:xf numFmtId="0" fontId="5" fillId="9" borderId="18" xfId="0" applyNumberFormat="1" applyFont="1" applyFill="1" applyBorder="1" applyAlignment="1">
      <x:alignment wrapText="1"/>
    </x:xf>
    <x:xf numFmtId="0" fontId="5" fillId="9" borderId="19" xfId="0" applyNumberFormat="1" applyFont="1" applyFill="1" applyBorder="1" applyAlignment="1">
      <x:alignment wrapText="1"/>
    </x:xf>
    <x:xf numFmtId="0" fontId="5" fillId="9" borderId="20" xfId="0" applyNumberFormat="1" applyFont="1" applyFill="1" applyBorder="1" applyAlignment="1">
      <x:alignment wrapText="1"/>
    </x:xf>
    <x:xf numFmtId="0" fontId="5" fillId="9" borderId="21" xfId="0" applyNumberFormat="1" applyFont="1" applyFill="1" applyBorder="1" applyAlignment="1">
      <x:alignment wrapText="1"/>
    </x:xf>
    <x:xf numFmtId="0" fontId="5" fillId="9" borderId="16" xfId="0" applyNumberFormat="1" applyFont="1" applyFill="1" applyBorder="1" applyAlignment="1">
      <x:alignment vertical="top" wrapText="1"/>
    </x:xf>
    <x:xf numFmtId="0" fontId="5" fillId="9" borderId="17" xfId="0" applyNumberFormat="1" applyFont="1" applyFill="1" applyBorder="1" applyAlignment="1">
      <x:alignment vertical="top" wrapText="1"/>
    </x:xf>
    <x:xf numFmtId="0" fontId="5" fillId="9" borderId="18" xfId="0" applyNumberFormat="1" applyFont="1" applyFill="1" applyBorder="1" applyAlignment="1">
      <x:alignment vertical="top" wrapText="1"/>
    </x:xf>
    <x:xf numFmtId="0" fontId="5" fillId="9" borderId="19" xfId="0" applyNumberFormat="1" applyFont="1" applyFill="1" applyBorder="1" applyAlignment="1">
      <x:alignment vertical="top" wrapText="1"/>
    </x:xf>
    <x:xf numFmtId="0" fontId="5" fillId="9" borderId="20" xfId="0" applyNumberFormat="1" applyFont="1" applyFill="1" applyBorder="1" applyAlignment="1">
      <x:alignment vertical="top" wrapText="1"/>
    </x:xf>
    <x:xf numFmtId="0" fontId="5" fillId="9" borderId="21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171915"/>
      </x:font>
      <x:fill>
        <x:patternFill patternType="solid">
          <x:bgColor rgb="FFEFF5C6"/>
        </x:patternFill>
      </x:fill>
    </x:dxf>
    <x:dxf>
      <x:font>
        <x:b/>
        <x:color rgb="FF171915"/>
      </x:font>
      <x:fill>
        <x:patternFill patternType="solid">
          <x:bgColor rgb="FFEFF5C6"/>
        </x:patternFill>
      </x:fill>
    </x:dxf>
    <x:dxf>
      <x:font>
        <x:b/>
        <x:color rgb="FF171915"/>
      </x:font>
      <x:fill>
        <x:patternFill patternType="solid">
          <x:bgColor rgb="FFEFF5C6"/>
        </x:patternFill>
      </x:fill>
    </x:dxf>
    <x:dxf>
      <x:font>
        <x:b/>
        <x:color rgb="FF171915"/>
      </x:font>
      <x:fill>
        <x:patternFill patternType="solid">
          <x:bgColor rgb="FFEFF5C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02ae594a1492b" /><Relationship Type="http://schemas.openxmlformats.org/officeDocument/2006/relationships/theme" Target="/xl/theme/theme1.xml" Id="R1d38ef8cee4b4217" /><Relationship Type="http://schemas.openxmlformats.org/officeDocument/2006/relationships/sharedStrings" Target="/xl/sharedStrings.xml" Id="R7ece755538504b75" /><Relationship Type="http://schemas.openxmlformats.org/officeDocument/2006/relationships/worksheet" Target="/xl/worksheets/sheet1.xml" Id="Rd8addf717aa54980" /><Relationship Type="http://schemas.openxmlformats.org/officeDocument/2006/relationships/worksheet" Target="/xl/worksheets/sheet2.xml" Id="R63b8c9b806f44735" /><Relationship Type="http://schemas.openxmlformats.org/officeDocument/2006/relationships/worksheet" Target="/xl/worksheets/sheet3.xml" Id="Rafff794bc71e4398" /><Relationship Type="http://schemas.openxmlformats.org/officeDocument/2006/relationships/worksheet" Target="/xl/worksheets/sheet4.xml" Id="R06f1e919fe984801" /><Relationship Type="http://schemas.openxmlformats.org/officeDocument/2006/relationships/worksheet" Target="/xl/worksheets/sheet5.xml" Id="Rc3c78daa1cd84e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0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AULA 03 · ETAPAS DA PRODUÇÃO AUDIOVISUAL</x:v>
      </x:c>
      <x:c r="B1" s="3" t="str">
        <x:v>AULA 03 · ETAPAS DA PRODUÇÃO AUDIOVISUAL</x:v>
      </x:c>
      <x:c r="C1" s="3" t="str">
        <x:v>AULA 03 · ETAPAS DA PRODUÇÃO AUDIOVISUAL</x:v>
      </x:c>
      <x:c r="D1" s="3" t="str">
        <x:v>AULA 03 · ETAPAS DA PRODUÇÃO AUDIOVISUAL</x:v>
      </x:c>
      <x:c r="E1" s="3" t="str">
        <x:v>AULA 03 · ETAPAS DA PRODUÇÃO AUDIOVISUAL</x:v>
      </x:c>
      <x:c r="F1" s="3" t="str">
        <x:v>AULA 03 · ETAPAS DA PRODUÇÃO AUDIOVISUAL</x:v>
      </x:c>
      <x:c r="G1" s="3" t="str">
        <x:v>AULA 03 · ETAPAS DA PRODUÇÃO AUDIOVISUAL</x:v>
      </x:c>
      <x:c r="H1" s="3" t="str">
        <x:v>AULA 03 · ETAPAS DA PRODUÇÃO AUDIOVISUAL</x:v>
      </x:c>
    </x:row>
    <x:row r="2" ht="34" customHeight="1">
      <x:c r="A2" s="7" t="str">
        <x:v>Arquivo digital da equipe · não imprimir · salve uma cópia antes de começar</x:v>
      </x:c>
      <x:c r="B2" s="7" t="str">
        <x:v>Arquivo digital da equipe · não imprimir · salve uma cópia antes de começar</x:v>
      </x:c>
      <x:c r="C2" s="7" t="str">
        <x:v>Arquivo digital da equipe · não imprimir · salve uma cópia antes de começar</x:v>
      </x:c>
      <x:c r="D2" s="7" t="str">
        <x:v>Arquivo digital da equipe · não imprimir · salve uma cópia antes de começar</x:v>
      </x:c>
      <x:c r="E2" s="7" t="str">
        <x:v>Arquivo digital da equipe · não imprimir · salve uma cópia antes de começar</x:v>
      </x:c>
      <x:c r="F2" s="7" t="str">
        <x:v>Arquivo digital da equipe · não imprimir · salve uma cópia antes de começar</x:v>
      </x:c>
      <x:c r="G2" s="7" t="str">
        <x:v>Arquivo digital da equipe · não imprimir · salve uma cópia antes de começar</x:v>
      </x:c>
      <x:c r="H2" s="7" t="str">
        <x:v>Arquivo digital da equipe · não imprimir · salve uma cópia antes de começar</x:v>
      </x:c>
    </x:row>
    <x:row r="4">
      <x:c r="A4" s="11" t="str">
        <x:v>OBJETIVO DA NOITE</x:v>
      </x:c>
      <x:c r="B4" s="11"/>
      <x:c r="C4" s="11"/>
      <x:c r="D4" s="11"/>
      <x:c r="E4" s="11"/>
      <x:c r="F4" s="11"/>
      <x:c r="G4" s="11"/>
      <x:c r="H4" s="11"/>
    </x:row>
    <x:row r="5">
      <x:c r="A5" s="26" t="str">
        <x:v>Organizar um vídeo de 1 minuto nas etapas de pré-produção, produção e pós-produção; comparar curta-metragem, comercial e documentário; construir e auditar um cronograma possível.</x:v>
      </x:c>
      <x:c r="B5" s="27"/>
      <x:c r="C5" s="27"/>
      <x:c r="D5" s="27"/>
      <x:c r="E5" s="27"/>
      <x:c r="F5" s="27"/>
      <x:c r="G5" s="27"/>
      <x:c r="H5" s="28"/>
    </x:row>
    <x:row r="6">
      <x:c r="A6" s="29"/>
      <x:c r="B6" s="30"/>
      <x:c r="C6" s="30"/>
      <x:c r="D6" s="30"/>
      <x:c r="E6" s="30"/>
      <x:c r="F6" s="30"/>
      <x:c r="G6" s="30"/>
      <x:c r="H6" s="31"/>
    </x:row>
    <x:row r="8">
      <x:c r="A8" s="32" t="str">
        <x:v>Equipe</x:v>
      </x:c>
      <x:c r="B8" s="36" t="str"/>
      <x:c r="D8" s="40" t="str">
        <x:v>PAPÉIS DA EQUIPE · troquem depois do lanche</x:v>
      </x:c>
      <x:c r="E8" s="40"/>
      <x:c r="F8" s="40"/>
      <x:c r="G8" s="40"/>
      <x:c r="H8" s="40"/>
    </x:row>
    <x:row r="9">
      <x:c r="A9" s="32" t="str">
        <x:v>Turma</x:v>
      </x:c>
      <x:c r="B9" s="36" t="str"/>
      <x:c r="D9" s="36" t="str">
        <x:v>Gestor do tempo</x:v>
      </x:c>
      <x:c r="E9" s="36" t="str">
        <x:v>controla os minutos e lê o quadro TERMINAMOS QUANDO</x:v>
      </x:c>
      <x:c r="G9" s="36" t="str">
        <x:v>Nome</x:v>
      </x:c>
      <x:c r="H9" s="36"/>
    </x:row>
    <x:row r="10">
      <x:c r="A10" s="32" t="str">
        <x:v>Data</x:v>
      </x:c>
      <x:c r="B10" s="36" t="str"/>
      <x:c r="D10" s="36" t="str">
        <x:v>Operador</x:v>
      </x:c>
      <x:c r="E10" s="36" t="str">
        <x:v>digita e salva; não decide sozinho</x:v>
      </x:c>
      <x:c r="G10" s="36" t="str">
        <x:v>Nome</x:v>
      </x:c>
      <x:c r="H10" s="36"/>
    </x:row>
    <x:row r="11">
      <x:c r="A11" s="32" t="str">
        <x:v>Nome final</x:v>
      </x:c>
      <x:c r="B11" s="36" t="str">
        <x:v>PA_A03_EQ##_CRONOGRAMA.xlsx</x:v>
      </x:c>
      <x:c r="D11" s="36" t="str">
        <x:v>Leitor</x:v>
      </x:c>
      <x:c r="E11" s="36" t="str">
        <x:v>lê o slide e confere se todos seguiram a ordem</x:v>
      </x:c>
      <x:c r="G11" s="36" t="str">
        <x:v>Nome</x:v>
      </x:c>
      <x:c r="H11" s="36"/>
    </x:row>
    <x:row r="12">
      <x:c r="D12" s="36" t="str">
        <x:v>Auditor</x:v>
      </x:c>
      <x:c r="E12" s="36" t="str">
        <x:v>questiona fase, ordem, dependência e evidência</x:v>
      </x:c>
      <x:c r="G12" s="36" t="str">
        <x:v>Nome</x:v>
      </x:c>
      <x:c r="H12" s="36"/>
    </x:row>
    <x:row r="14">
      <x:c r="A14" s="11" t="str">
        <x:v>ORDEM DE TRABALHO</x:v>
      </x:c>
      <x:c r="B14" s="11"/>
      <x:c r="C14" s="11"/>
      <x:c r="D14" s="11"/>
      <x:c r="E14" s="11"/>
      <x:c r="F14" s="11"/>
      <x:c r="G14" s="11"/>
      <x:c r="H14" s="11"/>
    </x:row>
    <x:row r="15">
      <x:c r="A15" s="43" t="str">
        <x:v>1</x:v>
      </x:c>
      <x:c r="B15" s="46" t="str">
        <x:v>1_FLUXO</x:v>
      </x:c>
      <x:c r="C15" s="36" t="str">
        <x:v>Classificar 15 tarefas, ordenar, ligar dependências e justificar.</x:v>
      </x:c>
      <x:c r="D15" s="36"/>
      <x:c r="E15" s="36"/>
      <x:c r="F15" s="36"/>
      <x:c r="G15" s="36"/>
      <x:c r="H15" s="36"/>
    </x:row>
    <x:row r="16">
      <x:c r="A16" s="43" t="str">
        <x:v>2</x:v>
      </x:c>
      <x:c r="B16" s="46" t="str">
        <x:v>2_GENEROS</x:v>
      </x:c>
      <x:c r="C16" s="36" t="str">
        <x:v>Adaptar a mesma premissa para curta, comercial e documentário.</x:v>
      </x:c>
      <x:c r="D16" s="36"/>
      <x:c r="E16" s="36"/>
      <x:c r="F16" s="36"/>
      <x:c r="G16" s="36"/>
      <x:c r="H16" s="36"/>
    </x:row>
    <x:row r="17">
      <x:c r="A17" s="43" t="str">
        <x:v>3</x:v>
      </x:c>
      <x:c r="B17" s="46" t="str">
        <x:v>3_CRONOGRAMA</x:v>
      </x:c>
      <x:c r="C17" s="36" t="str">
        <x:v>Planejar pelo menos 10 tarefas com pessoa, duração, dependência e evidência.</x:v>
      </x:c>
      <x:c r="D17" s="36"/>
      <x:c r="E17" s="36"/>
      <x:c r="F17" s="36"/>
      <x:c r="G17" s="36"/>
      <x:c r="H17" s="36"/>
    </x:row>
    <x:row r="18">
      <x:c r="A18" s="43" t="str">
        <x:v>4</x:v>
      </x:c>
      <x:c r="B18" s="46" t="str">
        <x:v>4_CONFERENCIA</x:v>
      </x:c>
      <x:c r="C18" s="36" t="str">
        <x:v>Auditar outra equipe, corrigir, nomear e salvar na pasta AULA_03_ENTREGAS.</x:v>
      </x:c>
      <x:c r="D18" s="36"/>
      <x:c r="E18" s="36"/>
      <x:c r="F18" s="36"/>
      <x:c r="G18" s="36"/>
      <x:c r="H18" s="36"/>
    </x:row>
    <x:row r="20" ht="32" customHeight="1">
      <x:c r="A20" s="49" t="str">
        <x:v>ENTREGA: salve como PA_A03_EQ##_CRONOGRAMA.xlsx em AULA_03_ENTREGAS até 22:02. Troque ## pelo número da equipe.</x:v>
      </x:c>
      <x:c r="B20" s="49"/>
      <x:c r="C20" s="49"/>
      <x:c r="D20" s="49"/>
      <x:c r="E20" s="49"/>
      <x:c r="F20" s="49"/>
      <x:c r="G20" s="49"/>
      <x:c r="H20" s="49"/>
    </x:row>
  </x:sheetData>
  <x:mergeCells>
    <x:mergeCell ref="A1:H1"/>
    <x:mergeCell ref="A2:H2"/>
    <x:mergeCell ref="A4:H4"/>
    <x:mergeCell ref="A5:H6"/>
    <x:mergeCell ref="D8:H8"/>
    <x:mergeCell ref="G9:H9"/>
    <x:mergeCell ref="G10:H10"/>
    <x:mergeCell ref="G11:H11"/>
    <x:mergeCell ref="G12:H12"/>
    <x:mergeCell ref="A14:H14"/>
    <x:mergeCell ref="C15:H15"/>
    <x:mergeCell ref="C16:H16"/>
    <x:mergeCell ref="C17:H17"/>
    <x:mergeCell ref="C18:H18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5" hidden="0" customWidth="1"/>
    <x:col min="4" max="4" width="31" hidden="0" customWidth="1"/>
    <x:col min="5" max="5" width="36" hidden="0" customWidth="1"/>
    <x:col min="6" max="6" width="17" hidden="0" customWidth="1"/>
    <x:col min="7" max="7" width="17" hidden="0" customWidth="1"/>
  </x:cols>
  <x:sheetData>
    <x:row r="1" ht="34" customHeight="1">
      <x:c r="A1" s="3" t="str">
        <x:v>ATIVIDADE 1 · FLUXO EMBARALHADO</x:v>
      </x:c>
      <x:c r="B1" s="3" t="str">
        <x:v>ATIVIDADE 1 · FLUXO EMBARALHADO</x:v>
      </x:c>
      <x:c r="C1" s="3" t="str">
        <x:v>ATIVIDADE 1 · FLUXO EMBARALHADO</x:v>
      </x:c>
      <x:c r="D1" s="3" t="str">
        <x:v>ATIVIDADE 1 · FLUXO EMBARALHADO</x:v>
      </x:c>
      <x:c r="E1" s="3" t="str">
        <x:v>ATIVIDADE 1 · FLUXO EMBARALHADO</x:v>
      </x:c>
      <x:c r="F1" s="3" t="str">
        <x:v>ATIVIDADE 1 · FLUXO EMBARALHADO</x:v>
      </x:c>
      <x:c r="G1" s="3" t="str">
        <x:v>ATIVIDADE 1 · FLUXO EMBARALHADO</x:v>
      </x:c>
    </x:row>
    <x:row r="2" ht="34" customHeight="1">
      <x:c r="A2" s="7" t="str">
        <x:v>Preencha somente as células claras. Meta: 15 fases + ordem sem repetir + 4 dependências + 2 justificativas.</x:v>
      </x:c>
      <x:c r="B2" s="7" t="str">
        <x:v>Preencha somente as células claras. Meta: 15 fases + ordem sem repetir + 4 dependências + 2 justificativas.</x:v>
      </x:c>
      <x:c r="C2" s="7" t="str">
        <x:v>Preencha somente as células claras. Meta: 15 fases + ordem sem repetir + 4 dependências + 2 justificativas.</x:v>
      </x:c>
      <x:c r="D2" s="7" t="str">
        <x:v>Preencha somente as células claras. Meta: 15 fases + ordem sem repetir + 4 dependências + 2 justificativas.</x:v>
      </x:c>
      <x:c r="E2" s="7" t="str">
        <x:v>Preencha somente as células claras. Meta: 15 fases + ordem sem repetir + 4 dependências + 2 justificativas.</x:v>
      </x:c>
      <x:c r="F2" s="7" t="str">
        <x:v>Preencha somente as células claras. Meta: 15 fases + ordem sem repetir + 4 dependências + 2 justificativas.</x:v>
      </x:c>
      <x:c r="G2" s="7" t="str">
        <x:v>Preencha somente as células claras. Meta: 15 fases + ordem sem repetir + 4 dependências + 2 justificativas.</x:v>
      </x:c>
    </x:row>
    <x:row r="4">
      <x:c r="A4" s="53" t="str">
        <x:v>Ordem</x:v>
      </x:c>
      <x:c r="B4" s="53" t="str">
        <x:v>Tarefa embaralhada</x:v>
      </x:c>
      <x:c r="C4" s="53" t="str">
        <x:v>Fase</x:v>
      </x:c>
      <x:c r="D4" s="53" t="str">
        <x:v>Depende de qual tarefa?</x:v>
      </x:c>
      <x:c r="E4" s="53" t="str">
        <x:v>Por que precisa vir depois?</x:v>
      </x:c>
      <x:c r="F4" s="53" t="str">
        <x:v>Ordem repetida?</x:v>
      </x:c>
      <x:c r="G4" s="53" t="str">
        <x:v>Conferência</x:v>
      </x:c>
    </x:row>
    <x:row r="5" ht="34" customHeight="1">
      <x:c r="A5" s="56"/>
      <x:c r="B5" s="57" t="str">
        <x:v>Exportar e assistir ao arquivo final</x:v>
      </x:c>
      <x:c r="C5" s="56"/>
      <x:c r="D5" s="56"/>
      <x:c r="E5" s="56"/>
      <x:c r="F5" s="60" t="str">
        <x:f>IF(A5="","",IF(COUNTIF($A$5:$A$19,A5)&gt;1,"REPETIDA","OK"))</x:f>
      </x:c>
      <x:c r="G5" s="60" t="str">
        <x:f>IF(AND(A5&lt;&gt;"",C5&lt;&gt;""),"OK","FALTA")</x:f>
        <x:v>FALTA</x:v>
      </x:c>
    </x:row>
    <x:row r="6" ht="34" customHeight="1">
      <x:c r="A6" s="56"/>
      <x:c r="B6" s="57" t="str">
        <x:v>Escrever o roteiro</x:v>
      </x:c>
      <x:c r="C6" s="56"/>
      <x:c r="D6" s="56"/>
      <x:c r="E6" s="56"/>
      <x:c r="F6" s="60" t="str">
        <x:f>IF(A6="","",IF(COUNTIF($A$5:$A$19,A6)&gt;1,"REPETIDA","OK"))</x:f>
      </x:c>
      <x:c r="G6" s="60" t="str">
        <x:f>IF(AND(A6&lt;&gt;"",C6&lt;&gt;""),"OK","FALTA")</x:f>
        <x:v>FALTA</x:v>
      </x:c>
    </x:row>
    <x:row r="7" ht="34" customHeight="1">
      <x:c r="A7" s="56"/>
      <x:c r="B7" s="57" t="str">
        <x:v>Gravar imagem e som</x:v>
      </x:c>
      <x:c r="C7" s="56"/>
      <x:c r="D7" s="56"/>
      <x:c r="E7" s="56"/>
      <x:c r="F7" s="60" t="str">
        <x:f>IF(A7="","",IF(COUNTIF($A$5:$A$19,A7)&gt;1,"REPETIDA","OK"))</x:f>
      </x:c>
      <x:c r="G7" s="60" t="str">
        <x:f>IF(AND(A7&lt;&gt;"",C7&lt;&gt;""),"OK","FALTA")</x:f>
        <x:v>FALTA</x:v>
      </x:c>
    </x:row>
    <x:row r="8" ht="34" customHeight="1">
      <x:c r="A8" s="56"/>
      <x:c r="B8" s="57" t="str">
        <x:v>Definir público e objetivo</x:v>
      </x:c>
      <x:c r="C8" s="56"/>
      <x:c r="D8" s="56"/>
      <x:c r="E8" s="56"/>
      <x:c r="F8" s="60" t="str">
        <x:f>IF(A8="","",IF(COUNTIF($A$5:$A$19,A8)&gt;1,"REPETIDA","OK"))</x:f>
      </x:c>
      <x:c r="G8" s="60" t="str">
        <x:f>IF(AND(A8&lt;&gt;"",C8&lt;&gt;""),"OK","FALTA")</x:f>
        <x:v>FALTA</x:v>
      </x:c>
    </x:row>
    <x:row r="9" ht="34" customHeight="1">
      <x:c r="A9" s="56"/>
      <x:c r="B9" s="57" t="str">
        <x:v>Montar o primeiro corte</x:v>
      </x:c>
      <x:c r="C9" s="56"/>
      <x:c r="D9" s="56"/>
      <x:c r="E9" s="56"/>
      <x:c r="F9" s="60" t="str">
        <x:f>IF(A9="","",IF(COUNTIF($A$5:$A$19,A9)&gt;1,"REPETIDA","OK"))</x:f>
      </x:c>
      <x:c r="G9" s="60" t="str">
        <x:f>IF(AND(A9&lt;&gt;"",C9&lt;&gt;""),"OK","FALTA")</x:f>
        <x:v>FALTA</x:v>
      </x:c>
    </x:row>
    <x:row r="10" ht="34" customHeight="1">
      <x:c r="A10" s="56"/>
      <x:c r="B10" s="57" t="str">
        <x:v>Aprovar o roteiro</x:v>
      </x:c>
      <x:c r="C10" s="56"/>
      <x:c r="D10" s="56"/>
      <x:c r="E10" s="56"/>
      <x:c r="F10" s="60" t="str">
        <x:f>IF(A10="","",IF(COUNTIF($A$5:$A$19,A10)&gt;1,"REPETIDA","OK"))</x:f>
      </x:c>
      <x:c r="G10" s="60" t="str">
        <x:f>IF(AND(A10&lt;&gt;"",C10&lt;&gt;""),"OK","FALTA")</x:f>
        <x:v>FALTA</x:v>
      </x:c>
    </x:row>
    <x:row r="11" ht="34" customHeight="1">
      <x:c r="A11" s="56"/>
      <x:c r="B11" s="57" t="str">
        <x:v>Copiar e organizar os arquivos</x:v>
      </x:c>
      <x:c r="C11" s="56"/>
      <x:c r="D11" s="56"/>
      <x:c r="E11" s="56"/>
      <x:c r="F11" s="60" t="str">
        <x:f>IF(A11="","",IF(COUNTIF($A$5:$A$19,A11)&gt;1,"REPETIDA","OK"))</x:f>
      </x:c>
      <x:c r="G11" s="60" t="str">
        <x:f>IF(AND(A11&lt;&gt;"",C11&lt;&gt;""),"OK","FALTA")</x:f>
        <x:v>FALTA</x:v>
      </x:c>
    </x:row>
    <x:row r="12" ht="34" customHeight="1">
      <x:c r="A12" s="56"/>
      <x:c r="B12" s="57" t="str">
        <x:v>Planejar os planos</x:v>
      </x:c>
      <x:c r="C12" s="56"/>
      <x:c r="D12" s="56"/>
      <x:c r="E12" s="56"/>
      <x:c r="F12" s="60" t="str">
        <x:f>IF(A12="","",IF(COUNTIF($A$5:$A$19,A12)&gt;1,"REPETIDA","OK"))</x:f>
      </x:c>
      <x:c r="G12" s="60" t="str">
        <x:f>IF(AND(A12&lt;&gt;"",C12&lt;&gt;""),"OK","FALTA")</x:f>
        <x:v>FALTA</x:v>
      </x:c>
    </x:row>
    <x:row r="13" ht="34" customHeight="1">
      <x:c r="A13" s="56"/>
      <x:c r="B13" s="57" t="str">
        <x:v>Tratar áudio e imagem</x:v>
      </x:c>
      <x:c r="C13" s="56"/>
      <x:c r="D13" s="56"/>
      <x:c r="E13" s="56"/>
      <x:c r="F13" s="60" t="str">
        <x:f>IF(A13="","",IF(COUNTIF($A$5:$A$19,A13)&gt;1,"REPETIDA","OK"))</x:f>
      </x:c>
      <x:c r="G13" s="60" t="str">
        <x:f>IF(AND(A13&lt;&gt;"",C13&lt;&gt;""),"OK","FALTA")</x:f>
        <x:v>FALTA</x:v>
      </x:c>
    </x:row>
    <x:row r="14" ht="34" customHeight="1">
      <x:c r="A14" s="56"/>
      <x:c r="B14" s="57" t="str">
        <x:v>Distribuir equipe e papéis</x:v>
      </x:c>
      <x:c r="C14" s="56"/>
      <x:c r="D14" s="56"/>
      <x:c r="E14" s="56"/>
      <x:c r="F14" s="60" t="str">
        <x:f>IF(A14="","",IF(COUNTIF($A$5:$A$19,A14)&gt;1,"REPETIDA","OK"))</x:f>
      </x:c>
      <x:c r="G14" s="60" t="str">
        <x:f>IF(AND(A14&lt;&gt;"",C14&lt;&gt;""),"OK","FALTA")</x:f>
        <x:v>FALTA</x:v>
      </x:c>
    </x:row>
    <x:row r="15" ht="34" customHeight="1">
      <x:c r="A15" s="56"/>
      <x:c r="B15" s="57" t="str">
        <x:v>Preparar local e equipamento</x:v>
      </x:c>
      <x:c r="C15" s="56"/>
      <x:c r="D15" s="56"/>
      <x:c r="E15" s="56"/>
      <x:c r="F15" s="60" t="str">
        <x:f>IF(A15="","",IF(COUNTIF($A$5:$A$19,A15)&gt;1,"REPETIDA","OK"))</x:f>
      </x:c>
      <x:c r="G15" s="60" t="str">
        <x:f>IF(AND(A15&lt;&gt;"",C15&lt;&gt;""),"OK","FALTA")</x:f>
        <x:v>FALTA</x:v>
      </x:c>
    </x:row>
    <x:row r="16" ht="34" customHeight="1">
      <x:c r="A16" s="56"/>
      <x:c r="B16" s="57" t="str">
        <x:v>Registrar as tomadas</x:v>
      </x:c>
      <x:c r="C16" s="56"/>
      <x:c r="D16" s="56"/>
      <x:c r="E16" s="56"/>
      <x:c r="F16" s="60" t="str">
        <x:f>IF(A16="","",IF(COUNTIF($A$5:$A$19,A16)&gt;1,"REPETIDA","OK"))</x:f>
      </x:c>
      <x:c r="G16" s="60" t="str">
        <x:f>IF(AND(A16&lt;&gt;"",C16&lt;&gt;""),"OK","FALTA")</x:f>
        <x:v>FALTA</x:v>
      </x:c>
    </x:row>
    <x:row r="17" ht="34" customHeight="1">
      <x:c r="A17" s="56"/>
      <x:c r="B17" s="57" t="str">
        <x:v>Inserir créditos</x:v>
      </x:c>
      <x:c r="C17" s="56"/>
      <x:c r="D17" s="56"/>
      <x:c r="E17" s="56"/>
      <x:c r="F17" s="60" t="str">
        <x:f>IF(A17="","",IF(COUNTIF($A$5:$A$19,A17)&gt;1,"REPETIDA","OK"))</x:f>
      </x:c>
      <x:c r="G17" s="60" t="str">
        <x:f>IF(AND(A17&lt;&gt;"",C17&lt;&gt;""),"OK","FALTA")</x:f>
        <x:v>FALTA</x:v>
      </x:c>
    </x:row>
    <x:row r="18" ht="34" customHeight="1">
      <x:c r="A18" s="56"/>
      <x:c r="B18" s="57" t="str">
        <x:v>Selecionar o material gravado</x:v>
      </x:c>
      <x:c r="C18" s="56"/>
      <x:c r="D18" s="56"/>
      <x:c r="E18" s="56"/>
      <x:c r="F18" s="60" t="str">
        <x:f>IF(A18="","",IF(COUNTIF($A$5:$A$19,A18)&gt;1,"REPETIDA","OK"))</x:f>
      </x:c>
      <x:c r="G18" s="60" t="str">
        <x:f>IF(AND(A18&lt;&gt;"",C18&lt;&gt;""),"OK","FALTA")</x:f>
        <x:v>FALTA</x:v>
      </x:c>
    </x:row>
    <x:row r="19" ht="34" customHeight="1">
      <x:c r="A19" s="56"/>
      <x:c r="B19" s="57" t="str">
        <x:v>Fazer cópia de segurança</x:v>
      </x:c>
      <x:c r="C19" s="56"/>
      <x:c r="D19" s="56"/>
      <x:c r="E19" s="56"/>
      <x:c r="F19" s="60" t="str">
        <x:f>IF(A19="","",IF(COUNTIF($A$5:$A$19,A19)&gt;1,"REPETIDA","OK"))</x:f>
      </x:c>
      <x:c r="G19" s="60" t="str">
        <x:f>IF(AND(A19&lt;&gt;"",C19&lt;&gt;""),"OK","FALTA")</x:f>
        <x:v>FALTA</x:v>
      </x:c>
    </x:row>
    <x:row r="21">
      <x:c r="A21" s="53" t="str">
        <x:v>FASES PREENCHIDAS</x:v>
      </x:c>
      <x:c r="B21" s="53" t="str">
        <x:v>DEPENDÊNCIAS</x:v>
      </x:c>
      <x:c r="C21" s="53" t="str">
        <x:v>JUSTIFICATIVAS</x:v>
      </x:c>
      <x:c r="E21" s="53" t="str">
        <x:v>STATUS DA ATIVIDADE</x:v>
      </x:c>
      <x:c r="F21" s="53"/>
      <x:c r="G21" s="53"/>
    </x:row>
    <x:row r="22">
      <x:c r="A22" s="62" t="n">
        <x:f>COUNTA(C5:C19)</x:f>
        <x:v>0</x:v>
      </x:c>
      <x:c r="B22" s="62" t="n">
        <x:f>COUNTA(D5:D19)</x:f>
        <x:v>0</x:v>
      </x:c>
      <x:c r="C22" s="62" t="n">
        <x:f>COUNTA(E5:E19)</x:f>
        <x:v>0</x:v>
      </x:c>
      <x:c r="E22" s="71" t="str">
        <x:f>IF(AND(COUNTA(C5:C19)=15,COUNT(A5:A19)=15,COUNTIF(F5:F19,"REPETIDA")=0,COUNTA(D5:D19)&gt;=4,COUNTA(E5:E19)&gt;=2),"CONCLUÍDO","PENDENTE")</x:f>
        <x:v>PENDENTE</x:v>
      </x:c>
      <x:c r="F22" s="72"/>
      <x:c r="G22" s="73"/>
    </x:row>
    <x:row r="24">
      <x:c r="A24" s="40" t="str">
        <x:v>DESAFIO EXTRA · Qual tarefa pode acontecer em paralelo com outra? Escreva as duas e explique por quê.</x:v>
      </x:c>
      <x:c r="B24" s="40"/>
      <x:c r="C24" s="40"/>
      <x:c r="D24" s="40"/>
      <x:c r="E24" s="40"/>
      <x:c r="F24" s="40"/>
      <x:c r="G24" s="40"/>
    </x:row>
    <x:row r="25">
      <x:c r="A25" s="36"/>
      <x:c r="B25" s="36"/>
      <x:c r="C25" s="36"/>
      <x:c r="D25" s="36"/>
      <x:c r="E25" s="36"/>
      <x:c r="F25" s="36"/>
      <x:c r="G25" s="36"/>
    </x:row>
    <x:row r="26">
      <x:c r="A26" s="36"/>
      <x:c r="B26" s="36"/>
      <x:c r="C26" s="36"/>
      <x:c r="D26" s="36"/>
      <x:c r="E26" s="36"/>
      <x:c r="F26" s="36"/>
      <x:c r="G26" s="36"/>
    </x:row>
  </x:sheetData>
  <x:mergeCells>
    <x:mergeCell ref="A1:G1"/>
    <x:mergeCell ref="A2:G2"/>
    <x:mergeCell ref="E21:G21"/>
    <x:mergeCell ref="E22:G22"/>
    <x:mergeCell ref="A24:G24"/>
    <x:mergeCell ref="A25:G26"/>
  </x:mergeCells>
  <x:conditionalFormatting sqref="E22:G22">
    <x:cfRule type="containsText" dxfId="0" priority="1" operator="containsText" text="CONCLUÍDO"/>
  </x:conditionalFormatting>
  <x:dataValidations count="2">
    <x:dataValidation type="list" sqref="C5:C19">
      <x:formula1>"PRÉ,PRODUÇÃO,PÓS"</x:formula1>
    </x:dataValidation>
    <x:dataValidation type="whole" operator="between" sqref="A5:A19">
      <x:formula1>1</x:formula1>
      <x:formula2>15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31" hidden="0" customWidth="1"/>
    <x:col min="4" max="4" width="31" hidden="0" customWidth="1"/>
    <x:col min="5" max="5" width="38" hidden="0" customWidth="1"/>
  </x:cols>
  <x:sheetData>
    <x:row r="1" ht="34" customHeight="1">
      <x:c r="A1" s="3" t="str">
        <x:v>ATIVIDADE 2 · UMA IDEIA, TRÊS GÊNEROS</x:v>
      </x:c>
      <x:c r="B1" s="3" t="str">
        <x:v>ATIVIDADE 2 · UMA IDEIA, TRÊS GÊNEROS</x:v>
      </x:c>
      <x:c r="C1" s="3" t="str">
        <x:v>ATIVIDADE 2 · UMA IDEIA, TRÊS GÊNEROS</x:v>
      </x:c>
      <x:c r="D1" s="3" t="str">
        <x:v>ATIVIDADE 2 · UMA IDEIA, TRÊS GÊNEROS</x:v>
      </x:c>
      <x:c r="E1" s="3" t="str">
        <x:v>ATIVIDADE 2 · UMA IDEIA, TRÊS GÊNEROS</x:v>
      </x:c>
    </x:row>
    <x:row r="2" ht="34" customHeight="1">
      <x:c r="A2" s="7" t="str">
        <x:v>Premissa comum: um objeto esquecido muda de dono. Complete as três versões sem copiar uma na outra.</x:v>
      </x:c>
      <x:c r="B2" s="7" t="str">
        <x:v>Premissa comum: um objeto esquecido muda de dono. Complete as três versões sem copiar uma na outra.</x:v>
      </x:c>
      <x:c r="C2" s="7" t="str">
        <x:v>Premissa comum: um objeto esquecido muda de dono. Complete as três versões sem copiar uma na outra.</x:v>
      </x:c>
      <x:c r="D2" s="7" t="str">
        <x:v>Premissa comum: um objeto esquecido muda de dono. Complete as três versões sem copiar uma na outra.</x:v>
      </x:c>
      <x:c r="E2" s="7" t="str">
        <x:v>Premissa comum: um objeto esquecido muda de dono. Complete as três versões sem copiar uma na outra.</x:v>
      </x:c>
    </x:row>
    <x:row r="4">
      <x:c r="A4" s="53" t="str">
        <x:v>Decisão</x:v>
      </x:c>
      <x:c r="B4" s="53" t="str">
        <x:v>Curta-metragem</x:v>
      </x:c>
      <x:c r="C4" s="53" t="str">
        <x:v>Comercial</x:v>
      </x:c>
      <x:c r="D4" s="53" t="str">
        <x:v>Documentário</x:v>
      </x:c>
      <x:c r="E4" s="53" t="str">
        <x:v>Pergunta de apoio</x:v>
      </x:c>
    </x:row>
    <x:row r="5" ht="50" customHeight="1">
      <x:c r="A5" s="75" t="str">
        <x:v>Finalidade</x:v>
      </x:c>
      <x:c r="B5" s="36"/>
      <x:c r="C5" s="36"/>
      <x:c r="D5" s="36"/>
      <x:c r="E5" s="80" t="str">
        <x:v>História, convencimento ou investigação?</x:v>
      </x:c>
    </x:row>
    <x:row r="6" ht="50" customHeight="1">
      <x:c r="A6" s="75" t="str">
        <x:v>Elemento central</x:v>
      </x:c>
      <x:c r="B6" s="36"/>
      <x:c r="C6" s="36"/>
      <x:c r="D6" s="36"/>
      <x:c r="E6" s="80" t="str">
        <x:v>Personagem/conflito; produto/benefício; pergunta/fonte.</x:v>
      </x:c>
    </x:row>
    <x:row r="7" ht="50" customHeight="1">
      <x:c r="A7" s="75" t="str">
        <x:v>Decisão de imagem</x:v>
      </x:c>
      <x:c r="B7" s="36"/>
      <x:c r="C7" s="36"/>
      <x:c r="D7" s="36"/>
      <x:c r="E7" s="80" t="str">
        <x:v>Plano, enquadramento, luz, cor ou movimento.</x:v>
      </x:c>
    </x:row>
    <x:row r="8" ht="50" customHeight="1">
      <x:c r="A8" s="75" t="str">
        <x:v>Decisão de som</x:v>
      </x:c>
      <x:c r="B8" s="36"/>
      <x:c r="C8" s="36"/>
      <x:c r="D8" s="36"/>
      <x:c r="E8" s="80" t="str">
        <x:v>Fala, ruído, música, silêncio ou entrevista.</x:v>
      </x:c>
    </x:row>
    <x:row r="9" ht="50" customHeight="1">
      <x:c r="A9" s="75" t="str">
        <x:v>Necessidade de produção</x:v>
      </x:c>
      <x:c r="B9" s="36"/>
      <x:c r="C9" s="36"/>
      <x:c r="D9" s="36"/>
      <x:c r="E9" s="80" t="str">
        <x:v>Pessoa, objeto, local, autorização ou equipamento.</x:v>
      </x:c>
    </x:row>
    <x:row r="10" ht="50" customHeight="1">
      <x:c r="A10" s="75" t="str">
        <x:v>Diferença principal</x:v>
      </x:c>
      <x:c r="B10" s="36"/>
      <x:c r="C10" s="36"/>
      <x:c r="D10" s="36"/>
      <x:c r="E10" s="80" t="str">
        <x:v>O que esta versão faz que as outras não fazem?</x:v>
      </x:c>
    </x:row>
    <x:row r="11" ht="50" customHeight="1">
      <x:c r="A11" s="75" t="str">
        <x:v>Título (extra)</x:v>
      </x:c>
      <x:c r="B11" s="36"/>
      <x:c r="C11" s="36"/>
      <x:c r="D11" s="36"/>
      <x:c r="E11" s="80" t="str">
        <x:v>Só preencha depois de concluir as seis linhas anteriores.</x:v>
      </x:c>
    </x:row>
    <x:row r="13">
      <x:c r="A13" s="53" t="str">
        <x:v>CURTA</x:v>
      </x:c>
      <x:c r="B13" s="53" t="str">
        <x:v>COMERCIAL</x:v>
      </x:c>
      <x:c r="C13" s="53" t="str">
        <x:v>DOCUMENTÁRIO</x:v>
      </x:c>
      <x:c r="D13" s="53" t="str">
        <x:v>STATUS</x:v>
      </x:c>
      <x:c r="E13" s="53"/>
    </x:row>
    <x:row r="14">
      <x:c r="A14" s="62" t="n">
        <x:f>COUNTA(B5:B10)</x:f>
        <x:v>0</x:v>
      </x:c>
      <x:c r="B14" s="62" t="n">
        <x:f>COUNTA(C5:C10)</x:f>
        <x:v>0</x:v>
      </x:c>
      <x:c r="C14" s="62" t="n">
        <x:f>COUNTA(D5:D10)</x:f>
        <x:v>0</x:v>
      </x:c>
      <x:c r="D14" s="71" t="str">
        <x:f>IF(AND(COUNTA(B5:B10)=6,COUNTA(C5:C10)=6,COUNTA(D5:D10)=6),"CONCLUÍDO","PENDENTE")</x:f>
        <x:v>PENDENTE</x:v>
      </x:c>
      <x:c r="E14" s="73"/>
    </x:row>
    <x:row r="16">
      <x:c r="A16" s="40" t="str">
        <x:v>GÊNERO ESCOLHIDO PARA O CRONOGRAMA</x:v>
      </x:c>
      <x:c r="B16" s="40"/>
      <x:c r="C16" s="40"/>
      <x:c r="D16" s="40"/>
      <x:c r="E16" s="40"/>
    </x:row>
    <x:row r="17">
      <x:c r="A17" s="36"/>
      <x:c r="B17" s="36"/>
      <x:c r="C17" s="36"/>
      <x:c r="D17" s="36"/>
      <x:c r="E17" s="36"/>
    </x:row>
  </x:sheetData>
  <x:mergeCells>
    <x:mergeCell ref="A1:E1"/>
    <x:mergeCell ref="A2:E2"/>
    <x:mergeCell ref="D13:E13"/>
    <x:mergeCell ref="D14:E14"/>
    <x:mergeCell ref="A16:E16"/>
    <x:mergeCell ref="A17:E17"/>
  </x:mergeCells>
  <x:conditionalFormatting sqref="D14:E14">
    <x:cfRule type="containsText" dxfId="1" priority="1" operator="containsText" text="CONCLUÍDO"/>
  </x:conditionalFormatting>
  <x:dataValidations count="1">
    <x:dataValidation type="list" sqref="A17">
      <x:formula1>"CURTA-METRAGEM,COMERCIAL,DOCUMENTÁRIO"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1" hidden="0" customWidth="1"/>
    <x:col min="3" max="3" width="14" hidden="0" customWidth="1"/>
    <x:col min="4" max="4" width="19" hidden="0" customWidth="1"/>
    <x:col min="5" max="5" width="14" hidden="0" customWidth="1"/>
    <x:col min="6" max="6" width="27" hidden="0" customWidth="1"/>
    <x:col min="7" max="7" width="32" hidden="0" customWidth="1"/>
    <x:col min="8" max="8" width="29" hidden="0" customWidth="1"/>
    <x:col min="9" max="9" width="3" hidden="0" customWidth="1"/>
    <x:col min="10" max="10" width="20" hidden="0" customWidth="1"/>
    <x:col min="11" max="11" width="14" hidden="0" customWidth="1"/>
  </x:cols>
  <x:sheetData>
    <x:row r="1" ht="34" customHeight="1">
      <x:c r="A1" s="3" t="str">
        <x:v>ATIVIDADE 3 · CRONOGRAMA POSSÍVEL</x:v>
      </x:c>
      <x:c r="B1" s="3" t="str">
        <x:v>ATIVIDADE 3 · CRONOGRAMA POSSÍVEL</x:v>
      </x:c>
      <x:c r="C1" s="3" t="str">
        <x:v>ATIVIDADE 3 · CRONOGRAMA POSSÍVEL</x:v>
      </x:c>
      <x:c r="D1" s="3" t="str">
        <x:v>ATIVIDADE 3 · CRONOGRAMA POSSÍVEL</x:v>
      </x:c>
      <x:c r="E1" s="3" t="str">
        <x:v>ATIVIDADE 3 · CRONOGRAMA POSSÍVEL</x:v>
      </x:c>
      <x:c r="F1" s="3" t="str">
        <x:v>ATIVIDADE 3 · CRONOGRAMA POSSÍVEL</x:v>
      </x:c>
      <x:c r="G1" s="3" t="str">
        <x:v>ATIVIDADE 3 · CRONOGRAMA POSSÍVEL</x:v>
      </x:c>
      <x:c r="H1" s="3" t="str">
        <x:v>ATIVIDADE 3 · CRONOGRAMA POSSÍVEL</x:v>
      </x:c>
      <x:c r="I1" s="3" t="str">
        <x:v>ATIVIDADE 3 · CRONOGRAMA POSSÍVEL</x:v>
      </x:c>
      <x:c r="J1" s="3" t="str">
        <x:v>ATIVIDADE 3 · CRONOGRAMA POSSÍVEL</x:v>
      </x:c>
      <x:c r="K1" s="3" t="str">
        <x:v>ATIVIDADE 3 · CRONOGRAMA POSSÍVEL</x:v>
      </x:c>
    </x:row>
    <x:row r="2" ht="34" customHeight="1">
      <x:c r="A2" s="7" t="str">
        <x:v>No mínimo 10 tarefas: 4 PRÉ + 2 PRODUÇÃO + 4 PÓS. Toda linha precisa de responsável, duração e evidência.</x:v>
      </x:c>
      <x:c r="B2" s="7" t="str">
        <x:v>No mínimo 10 tarefas: 4 PRÉ + 2 PRODUÇÃO + 4 PÓS. Toda linha precisa de responsável, duração e evidência.</x:v>
      </x:c>
      <x:c r="C2" s="7" t="str">
        <x:v>No mínimo 10 tarefas: 4 PRÉ + 2 PRODUÇÃO + 4 PÓS. Toda linha precisa de responsável, duração e evidência.</x:v>
      </x:c>
      <x:c r="D2" s="7" t="str">
        <x:v>No mínimo 10 tarefas: 4 PRÉ + 2 PRODUÇÃO + 4 PÓS. Toda linha precisa de responsável, duração e evidência.</x:v>
      </x:c>
      <x:c r="E2" s="7" t="str">
        <x:v>No mínimo 10 tarefas: 4 PRÉ + 2 PRODUÇÃO + 4 PÓS. Toda linha precisa de responsável, duração e evidência.</x:v>
      </x:c>
      <x:c r="F2" s="7" t="str">
        <x:v>No mínimo 10 tarefas: 4 PRÉ + 2 PRODUÇÃO + 4 PÓS. Toda linha precisa de responsável, duração e evidência.</x:v>
      </x:c>
      <x:c r="G2" s="7" t="str">
        <x:v>No mínimo 10 tarefas: 4 PRÉ + 2 PRODUÇÃO + 4 PÓS. Toda linha precisa de responsável, duração e evidência.</x:v>
      </x:c>
      <x:c r="H2" s="7" t="str">
        <x:v>No mínimo 10 tarefas: 4 PRÉ + 2 PRODUÇÃO + 4 PÓS. Toda linha precisa de responsável, duração e evidência.</x:v>
      </x:c>
      <x:c r="I2" s="7" t="str">
        <x:v>No mínimo 10 tarefas: 4 PRÉ + 2 PRODUÇÃO + 4 PÓS. Toda linha precisa de responsável, duração e evidência.</x:v>
      </x:c>
      <x:c r="J2" s="7" t="str">
        <x:v>No mínimo 10 tarefas: 4 PRÉ + 2 PRODUÇÃO + 4 PÓS. Toda linha precisa de responsável, duração e evidência.</x:v>
      </x:c>
      <x:c r="K2" s="7" t="str">
        <x:v>No mínimo 10 tarefas: 4 PRÉ + 2 PRODUÇÃO + 4 PÓS. Toda linha precisa de responsável, duração e evidência.</x:v>
      </x:c>
    </x:row>
    <x:row r="4">
      <x:c r="A4" s="32" t="str">
        <x:v>Equipe</x:v>
      </x:c>
      <x:c r="B4" s="36" t="str"/>
      <x:c r="J4" s="53" t="str">
        <x:v>PAINEL DE CONFERÊNCIA</x:v>
      </x:c>
      <x:c r="K4" s="53"/>
    </x:row>
    <x:row r="5">
      <x:c r="A5" s="32" t="str">
        <x:v>Gênero</x:v>
      </x:c>
      <x:c r="B5" s="36" t="str"/>
      <x:c r="J5" s="58" t="str">
        <x:v>Tarefas</x:v>
      </x:c>
      <x:c r="K5" s="87" t="n">
        <x:f>COUNTA(B9:B23)</x:f>
        <x:v>0</x:v>
      </x:c>
    </x:row>
    <x:row r="6">
      <x:c r="A6" s="32" t="str">
        <x:v>Objetivo do vídeo</x:v>
      </x:c>
      <x:c r="B6" s="36" t="str"/>
      <x:c r="J6" s="58" t="str">
        <x:v>Pré</x:v>
      </x:c>
      <x:c r="K6" s="87" t="n">
        <x:f>COUNTIF(C9:C23,"PRÉ")</x:f>
        <x:v>0</x:v>
      </x:c>
    </x:row>
    <x:row r="7">
      <x:c r="J7" s="58" t="str">
        <x:v>Produção</x:v>
      </x:c>
      <x:c r="K7" s="87" t="n">
        <x:f>COUNTIF(C9:C23,"PRODUÇÃO")</x:f>
        <x:v>0</x:v>
      </x:c>
    </x:row>
    <x:row r="8">
      <x:c r="A8" s="53" t="str">
        <x:v>#</x:v>
      </x:c>
      <x:c r="B8" s="53" t="str">
        <x:v>Tarefa (verbo + objeto)</x:v>
      </x:c>
      <x:c r="C8" s="53" t="str">
        <x:v>Fase</x:v>
      </x:c>
      <x:c r="D8" s="53" t="str">
        <x:v>Responsável</x:v>
      </x:c>
      <x:c r="E8" s="53" t="str">
        <x:v>Duração (min)</x:v>
      </x:c>
      <x:c r="F8" s="53" t="str">
        <x:v>Depende de</x:v>
      </x:c>
      <x:c r="G8" s="53" t="str">
        <x:v>Evidência de conclusão</x:v>
      </x:c>
      <x:c r="H8" s="53" t="str">
        <x:v>Plano B (extra)</x:v>
      </x:c>
      <x:c r="J8" s="58" t="str">
        <x:v>Pós</x:v>
      </x:c>
      <x:c r="K8" s="87" t="n">
        <x:f>COUNTIF(C9:C23,"PÓS")</x:f>
        <x:v>0</x:v>
      </x:c>
    </x:row>
    <x:row r="9" ht="36" customHeight="1">
      <x:c r="A9" s="84" t="n">
        <x:v>1</x:v>
      </x:c>
      <x:c r="B9" s="36"/>
      <x:c r="C9" s="36"/>
      <x:c r="D9" s="36"/>
      <x:c r="E9" s="36"/>
      <x:c r="F9" s="36"/>
      <x:c r="G9" s="36"/>
      <x:c r="H9" s="36"/>
      <x:c r="J9" s="58" t="str">
        <x:v>Responsáveis</x:v>
      </x:c>
      <x:c r="K9" s="87" t="n">
        <x:f>COUNTA(D9:D23)</x:f>
        <x:v>0</x:v>
      </x:c>
    </x:row>
    <x:row r="10" ht="36" customHeight="1">
      <x:c r="A10" s="84" t="n">
        <x:v>2</x:v>
      </x:c>
      <x:c r="B10" s="36"/>
      <x:c r="C10" s="36"/>
      <x:c r="D10" s="36"/>
      <x:c r="E10" s="36"/>
      <x:c r="F10" s="36"/>
      <x:c r="G10" s="36"/>
      <x:c r="H10" s="36"/>
      <x:c r="J10" s="58" t="str">
        <x:v>Durações</x:v>
      </x:c>
      <x:c r="K10" s="87" t="n">
        <x:f>COUNT(E9:E23)</x:f>
        <x:v>0</x:v>
      </x:c>
    </x:row>
    <x:row r="11" ht="36" customHeight="1">
      <x:c r="A11" s="84" t="n">
        <x:v>3</x:v>
      </x:c>
      <x:c r="B11" s="36"/>
      <x:c r="C11" s="36"/>
      <x:c r="D11" s="36"/>
      <x:c r="E11" s="36"/>
      <x:c r="F11" s="36"/>
      <x:c r="G11" s="36"/>
      <x:c r="H11" s="36"/>
      <x:c r="J11" s="58" t="str">
        <x:v>Dependências</x:v>
      </x:c>
      <x:c r="K11" s="87" t="n">
        <x:f>COUNTA(F9:F23)</x:f>
        <x:v>0</x:v>
      </x:c>
    </x:row>
    <x:row r="12" ht="36" customHeight="1">
      <x:c r="A12" s="84" t="n">
        <x:v>4</x:v>
      </x:c>
      <x:c r="B12" s="36"/>
      <x:c r="C12" s="36"/>
      <x:c r="D12" s="36"/>
      <x:c r="E12" s="36"/>
      <x:c r="F12" s="36"/>
      <x:c r="G12" s="36"/>
      <x:c r="H12" s="36"/>
      <x:c r="J12" s="58" t="str">
        <x:v>Evidências</x:v>
      </x:c>
      <x:c r="K12" s="87" t="n">
        <x:f>COUNTA(G9:G23)</x:f>
        <x:v>0</x:v>
      </x:c>
    </x:row>
    <x:row r="13" ht="36" customHeight="1">
      <x:c r="A13" s="84" t="n">
        <x:v>5</x:v>
      </x:c>
      <x:c r="B13" s="36"/>
      <x:c r="C13" s="36"/>
      <x:c r="D13" s="36"/>
      <x:c r="E13" s="36"/>
      <x:c r="F13" s="36"/>
      <x:c r="G13" s="36"/>
      <x:c r="H13" s="36"/>
    </x:row>
    <x:row r="14" ht="36" customHeight="1">
      <x:c r="A14" s="84" t="n">
        <x:v>6</x:v>
      </x:c>
      <x:c r="B14" s="36"/>
      <x:c r="C14" s="36"/>
      <x:c r="D14" s="36"/>
      <x:c r="E14" s="36"/>
      <x:c r="F14" s="36"/>
      <x:c r="G14" s="36"/>
      <x:c r="H14" s="36"/>
      <x:c r="J14" s="53" t="str">
        <x:v>STATUS</x:v>
      </x:c>
      <x:c r="K14" s="53"/>
    </x:row>
    <x:row r="15" ht="36" customHeight="1">
      <x:c r="A15" s="84" t="n">
        <x:v>7</x:v>
      </x:c>
      <x:c r="B15" s="36"/>
      <x:c r="C15" s="36"/>
      <x:c r="D15" s="36"/>
      <x:c r="E15" s="36"/>
      <x:c r="F15" s="36"/>
      <x:c r="G15" s="36"/>
      <x:c r="H15" s="36"/>
      <x:c r="J15" s="96" t="str">
        <x:f>IF(AND(K5&gt;=10,K6&gt;=4,K7&gt;=2,K8&gt;=4,K9&gt;=K5,K10&gt;=K5,K11&gt;=2,K12&gt;=K5),"CONCLUÍDO","PENDENTE")</x:f>
        <x:v>PENDENTE</x:v>
      </x:c>
      <x:c r="K15" s="97"/>
    </x:row>
    <x:row r="16" ht="36" customHeight="1">
      <x:c r="A16" s="84" t="n">
        <x:v>8</x:v>
      </x:c>
      <x:c r="B16" s="36"/>
      <x:c r="C16" s="36"/>
      <x:c r="D16" s="36"/>
      <x:c r="E16" s="36"/>
      <x:c r="F16" s="36"/>
      <x:c r="G16" s="36"/>
      <x:c r="H16" s="36"/>
      <x:c r="J16" s="98"/>
      <x:c r="K16" s="99"/>
    </x:row>
    <x:row r="17" ht="36" customHeight="1">
      <x:c r="A17" s="84" t="n">
        <x:v>9</x:v>
      </x:c>
      <x:c r="B17" s="36"/>
      <x:c r="C17" s="36"/>
      <x:c r="D17" s="36"/>
      <x:c r="E17" s="36"/>
      <x:c r="F17" s="36"/>
      <x:c r="G17" s="36"/>
      <x:c r="H17" s="36"/>
    </x:row>
    <x:row r="18" ht="36" customHeight="1">
      <x:c r="A18" s="84" t="n">
        <x:v>10</x:v>
      </x:c>
      <x:c r="B18" s="36"/>
      <x:c r="C18" s="36"/>
      <x:c r="D18" s="36"/>
      <x:c r="E18" s="36"/>
      <x:c r="F18" s="36"/>
      <x:c r="G18" s="36"/>
      <x:c r="H18" s="36"/>
      <x:c r="J18" s="40" t="str">
        <x:v>TESTE DE REALIDADE</x:v>
      </x:c>
      <x:c r="K18" s="40"/>
    </x:row>
    <x:row r="19" ht="36" customHeight="1">
      <x:c r="A19" s="84" t="n">
        <x:v>11</x:v>
      </x:c>
      <x:c r="B19" s="36"/>
      <x:c r="C19" s="36"/>
      <x:c r="D19" s="36"/>
      <x:c r="E19" s="36"/>
      <x:c r="F19" s="36"/>
      <x:c r="G19" s="36"/>
      <x:c r="H19" s="36"/>
      <x:c r="J19" s="113" t="str">
        <x:v>Se alguém faltar ou a gravação atrasar, existe plano B? Use a coluna H depois de completar as exigências mínimas.</x:v>
      </x:c>
      <x:c r="K19" s="114"/>
    </x:row>
    <x:row r="20" ht="36" customHeight="1">
      <x:c r="A20" s="84" t="n">
        <x:v>12</x:v>
      </x:c>
      <x:c r="B20" s="36"/>
      <x:c r="C20" s="36"/>
      <x:c r="D20" s="36"/>
      <x:c r="E20" s="36"/>
      <x:c r="F20" s="36"/>
      <x:c r="G20" s="36"/>
      <x:c r="H20" s="36"/>
      <x:c r="J20" s="115"/>
      <x:c r="K20" s="116"/>
    </x:row>
    <x:row r="21" ht="36" customHeight="1">
      <x:c r="A21" s="84" t="n">
        <x:v>13</x:v>
      </x:c>
      <x:c r="B21" s="36"/>
      <x:c r="C21" s="36"/>
      <x:c r="D21" s="36"/>
      <x:c r="E21" s="36"/>
      <x:c r="F21" s="36"/>
      <x:c r="G21" s="36"/>
      <x:c r="H21" s="36"/>
      <x:c r="J21" s="115"/>
      <x:c r="K21" s="116"/>
    </x:row>
    <x:row r="22" ht="36" customHeight="1">
      <x:c r="A22" s="84" t="n">
        <x:v>14</x:v>
      </x:c>
      <x:c r="B22" s="36"/>
      <x:c r="C22" s="36"/>
      <x:c r="D22" s="36"/>
      <x:c r="E22" s="36"/>
      <x:c r="F22" s="36"/>
      <x:c r="G22" s="36"/>
      <x:c r="H22" s="36"/>
      <x:c r="J22" s="115"/>
      <x:c r="K22" s="116"/>
    </x:row>
    <x:row r="23" ht="36" customHeight="1">
      <x:c r="A23" s="84" t="n">
        <x:v>15</x:v>
      </x:c>
      <x:c r="B23" s="36"/>
      <x:c r="C23" s="36"/>
      <x:c r="D23" s="36"/>
      <x:c r="E23" s="36"/>
      <x:c r="F23" s="36"/>
      <x:c r="G23" s="36"/>
      <x:c r="H23" s="36"/>
      <x:c r="J23" s="117"/>
      <x:c r="K23" s="118"/>
    </x:row>
  </x:sheetData>
  <x:mergeCells>
    <x:mergeCell ref="A1:K1"/>
    <x:mergeCell ref="A2:K2"/>
    <x:mergeCell ref="J4:K4"/>
    <x:mergeCell ref="J14:K14"/>
    <x:mergeCell ref="J15:K16"/>
    <x:mergeCell ref="J18:K18"/>
    <x:mergeCell ref="J19:K23"/>
  </x:mergeCells>
  <x:conditionalFormatting sqref="J15:K16">
    <x:cfRule type="containsText" dxfId="2" priority="1" operator="containsText" text="CONCLUÍDO"/>
  </x:conditionalFormatting>
  <x:dataValidations count="3">
    <x:dataValidation type="list" sqref="B5">
      <x:formula1>"CURTA-METRAGEM,COMERCIAL,DOCUMENTÁRIO"</x:formula1>
    </x:dataValidation>
    <x:dataValidation type="list" sqref="C9:C23">
      <x:formula1>"PRÉ,PRODUÇÃO,PÓS"</x:formula1>
    </x:dataValidation>
    <x:dataValidation type="whole" operator="between" sqref="E9:E23">
      <x:formula1>1</x:formula1>
      <x:formula2>480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48" hidden="0" customWidth="1"/>
    <x:col min="3" max="3" width="15" hidden="0" customWidth="1"/>
    <x:col min="4" max="4" width="25" hidden="0" customWidth="1"/>
    <x:col min="5" max="5" width="39" hidden="0" customWidth="1"/>
    <x:col min="6" max="6" width="18" hidden="0" customWidth="1"/>
  </x:cols>
  <x:sheetData>
    <x:row r="1" ht="34" customHeight="1">
      <x:c r="A1" s="3" t="str">
        <x:v>ATIVIDADE 3B · AUDITORIA E ENTREGA</x:v>
      </x:c>
      <x:c r="B1" s="3" t="str">
        <x:v>ATIVIDADE 3B · AUDITORIA E ENTREGA</x:v>
      </x:c>
      <x:c r="C1" s="3" t="str">
        <x:v>ATIVIDADE 3B · AUDITORIA E ENTREGA</x:v>
      </x:c>
      <x:c r="D1" s="3" t="str">
        <x:v>ATIVIDADE 3B · AUDITORIA E ENTREGA</x:v>
      </x:c>
      <x:c r="E1" s="3" t="str">
        <x:v>ATIVIDADE 3B · AUDITORIA E ENTREGA</x:v>
      </x:c>
      <x:c r="F1" s="3" t="str">
        <x:v>ATIVIDADE 3B · AUDITORIA E ENTREGA</x:v>
      </x:c>
    </x:row>
    <x:row r="2" ht="34" customHeight="1">
      <x:c r="A2" s="7" t="str">
        <x:v>A equipe auditora não altera o cronograma. Marque cada item, escreva uma correção e devolva o arquivo.</x:v>
      </x:c>
      <x:c r="B2" s="7" t="str">
        <x:v>A equipe auditora não altera o cronograma. Marque cada item, escreva uma correção e devolva o arquivo.</x:v>
      </x:c>
      <x:c r="C2" s="7" t="str">
        <x:v>A equipe auditora não altera o cronograma. Marque cada item, escreva uma correção e devolva o arquivo.</x:v>
      </x:c>
      <x:c r="D2" s="7" t="str">
        <x:v>A equipe auditora não altera o cronograma. Marque cada item, escreva uma correção e devolva o arquivo.</x:v>
      </x:c>
      <x:c r="E2" s="7" t="str">
        <x:v>A equipe auditora não altera o cronograma. Marque cada item, escreva uma correção e devolva o arquivo.</x:v>
      </x:c>
      <x:c r="F2" s="7" t="str">
        <x:v>A equipe auditora não altera o cronograma. Marque cada item, escreva uma correção e devolva o arquivo.</x:v>
      </x:c>
    </x:row>
    <x:row r="4">
      <x:c r="A4" s="9" t="str">
        <x:v>Equipe autora</x:v>
      </x:c>
      <x:c r="B4" s="36" t="str"/>
    </x:row>
    <x:row r="5">
      <x:c r="A5" s="9" t="str">
        <x:v>Equipe auditora</x:v>
      </x:c>
      <x:c r="B5" s="36" t="str"/>
    </x:row>
    <x:row r="6">
      <x:c r="A6" s="9" t="str">
        <x:v>Pessoa que conferiu</x:v>
      </x:c>
      <x:c r="B6" s="36" t="str"/>
    </x:row>
    <x:row r="8">
      <x:c r="A8" s="53" t="str">
        <x:v>#</x:v>
      </x:c>
      <x:c r="B8" s="53" t="str">
        <x:v>Critério</x:v>
      </x:c>
      <x:c r="C8" s="53" t="str">
        <x:v>Resultado</x:v>
      </x:c>
      <x:c r="D8" s="53" t="str">
        <x:v>Tarefa ou linha afetada</x:v>
      </x:c>
      <x:c r="E8" s="53" t="str">
        <x:v>Correção concreta</x:v>
      </x:c>
      <x:c r="F8" s="53" t="str">
        <x:v>Conferido por</x:v>
      </x:c>
    </x:row>
    <x:row r="9" ht="42" customHeight="1">
      <x:c r="A9" s="83" t="n">
        <x:v>1</x:v>
      </x:c>
      <x:c r="B9" s="81" t="str">
        <x:v>Há pelo menos 10 tarefas.</x:v>
      </x:c>
      <x:c r="C9" s="36"/>
      <x:c r="D9" s="36"/>
      <x:c r="E9" s="36"/>
      <x:c r="F9" s="36"/>
    </x:row>
    <x:row r="10" ht="42" customHeight="1">
      <x:c r="A10" s="83" t="n">
        <x:v>2</x:v>
      </x:c>
      <x:c r="B10" s="81" t="str">
        <x:v>Existem 4 tarefas de pré, 2 de produção e 4 de pós.</x:v>
      </x:c>
      <x:c r="C10" s="36"/>
      <x:c r="D10" s="36"/>
      <x:c r="E10" s="36"/>
      <x:c r="F10" s="36"/>
    </x:row>
    <x:row r="11" ht="42" customHeight="1">
      <x:c r="A11" s="83" t="n">
        <x:v>3</x:v>
      </x:c>
      <x:c r="B11" s="81" t="str">
        <x:v>A ordem permite executar o trabalho sem voltar no tempo.</x:v>
      </x:c>
      <x:c r="C11" s="36"/>
      <x:c r="D11" s="36"/>
      <x:c r="E11" s="36"/>
      <x:c r="F11" s="36"/>
    </x:row>
    <x:row r="12" ht="42" customHeight="1">
      <x:c r="A12" s="83" t="n">
        <x:v>4</x:v>
      </x:c>
      <x:c r="B12" s="81" t="str">
        <x:v>Há pelo menos duas dependências coerentes.</x:v>
      </x:c>
      <x:c r="C12" s="36"/>
      <x:c r="D12" s="36"/>
      <x:c r="E12" s="36"/>
      <x:c r="F12" s="36"/>
    </x:row>
    <x:row r="13" ht="42" customHeight="1">
      <x:c r="A13" s="83" t="n">
        <x:v>5</x:v>
      </x:c>
      <x:c r="B13" s="81" t="str">
        <x:v>Toda tarefa preenchida tem uma pessoa responsável.</x:v>
      </x:c>
      <x:c r="C13" s="36"/>
      <x:c r="D13" s="36"/>
      <x:c r="E13" s="36"/>
      <x:c r="F13" s="36"/>
    </x:row>
    <x:row r="14" ht="42" customHeight="1">
      <x:c r="A14" s="83" t="n">
        <x:v>6</x:v>
      </x:c>
      <x:c r="B14" s="81" t="str">
        <x:v>Toda tarefa preenchida tem duração em minutos.</x:v>
      </x:c>
      <x:c r="C14" s="36"/>
      <x:c r="D14" s="36"/>
      <x:c r="E14" s="36"/>
      <x:c r="F14" s="36"/>
    </x:row>
    <x:row r="15" ht="42" customHeight="1">
      <x:c r="A15" s="83" t="n">
        <x:v>7</x:v>
      </x:c>
      <x:c r="B15" s="81" t="str">
        <x:v>Toda tarefa preenchida tem evidência observável.</x:v>
      </x:c>
      <x:c r="C15" s="36"/>
      <x:c r="D15" s="36"/>
      <x:c r="E15" s="36"/>
      <x:c r="F15" s="36"/>
    </x:row>
    <x:row r="16" ht="42" customHeight="1">
      <x:c r="A16" s="83" t="n">
        <x:v>8</x:v>
      </x:c>
      <x:c r="B16" s="81" t="str">
        <x:v>O plano cabe na equipe e nos recursos da escola.</x:v>
      </x:c>
      <x:c r="C16" s="36"/>
      <x:c r="D16" s="36"/>
      <x:c r="E16" s="36"/>
      <x:c r="F16" s="36"/>
    </x:row>
    <x:row r="18">
      <x:c r="A18" s="11" t="str">
        <x:v>ELOGIO ESPECÍFICO</x:v>
      </x:c>
      <x:c r="B18" s="11"/>
      <x:c r="D18" s="40" t="str">
        <x:v>CORREÇÃO MAIS IMPORTANTE</x:v>
      </x:c>
      <x:c r="E18" s="40"/>
      <x:c r="F18" s="40"/>
    </x:row>
    <x:row r="19">
      <x:c r="A19" s="36"/>
      <x:c r="B19" s="36"/>
      <x:c r="D19" s="36"/>
      <x:c r="E19" s="36"/>
      <x:c r="F19" s="36"/>
    </x:row>
    <x:row r="20">
      <x:c r="A20" s="36"/>
      <x:c r="B20" s="36"/>
      <x:c r="D20" s="36"/>
      <x:c r="E20" s="36"/>
      <x:c r="F20" s="36"/>
    </x:row>
    <x:row r="22">
      <x:c r="A22" s="53" t="str">
        <x:v>ITENS MARCADOS</x:v>
      </x:c>
      <x:c r="B22" s="53" t="str">
        <x:v>AJUSTES IDENTIFICADOS</x:v>
      </x:c>
      <x:c r="D22" s="53" t="str">
        <x:v>STATUS DA AUDITORIA</x:v>
      </x:c>
      <x:c r="E22" s="53"/>
      <x:c r="F22" s="53"/>
    </x:row>
    <x:row r="23">
      <x:c r="A23" s="62" t="n">
        <x:f>COUNTA(C9:C16)</x:f>
        <x:v>0</x:v>
      </x:c>
      <x:c r="B23" s="62" t="n">
        <x:f>COUNTIF(C9:C16,"AJUSTAR")</x:f>
        <x:v>0</x:v>
      </x:c>
      <x:c r="D23" s="71" t="str">
        <x:f>IF(AND(COUNTA(C9:C16)=8,COUNTA(A19)&gt;=1,COUNTA(D19)&gt;=1,COUNTA(B5)&gt;=1),"CONCLUÍDO","PENDENTE")</x:f>
        <x:v>PENDENTE</x:v>
      </x:c>
      <x:c r="E23" s="72"/>
      <x:c r="F23" s="73"/>
    </x:row>
    <x:row r="25">
      <x:c r="A25" s="40" t="str">
        <x:v>RESPOSTA FINAL · A dependência mais importante é ___ porque ___.</x:v>
      </x:c>
      <x:c r="B25" s="40"/>
      <x:c r="C25" s="40"/>
      <x:c r="D25" s="40"/>
      <x:c r="E25" s="40"/>
      <x:c r="F25" s="40"/>
    </x:row>
    <x:row r="26">
      <x:c r="A26" s="36"/>
      <x:c r="B26" s="36"/>
      <x:c r="C26" s="36"/>
      <x:c r="D26" s="36"/>
      <x:c r="E26" s="36"/>
      <x:c r="F26" s="36"/>
    </x:row>
    <x:row r="27">
      <x:c r="A27" s="36"/>
      <x:c r="B27" s="36"/>
      <x:c r="C27" s="36"/>
      <x:c r="D27" s="36"/>
      <x:c r="E27" s="36"/>
      <x:c r="F27" s="36"/>
    </x:row>
    <x:row r="29" ht="34" customHeight="1">
      <x:c r="A29" s="121" t="str">
        <x:v>ENTREGA · corrija o cronograma → salve como PA_A03_EQ##_CRONOGRAMA.xlsx → pasta AULA_03_ENTREGAS → feche e reabra até 22:02.</x:v>
      </x:c>
      <x:c r="B29" s="121"/>
      <x:c r="C29" s="121"/>
      <x:c r="D29" s="121"/>
      <x:c r="E29" s="121"/>
      <x:c r="F29" s="121"/>
    </x:row>
  </x:sheetData>
  <x:mergeCells>
    <x:mergeCell ref="A1:F1"/>
    <x:mergeCell ref="A2:F2"/>
    <x:mergeCell ref="A18:B18"/>
    <x:mergeCell ref="A19:B20"/>
    <x:mergeCell ref="D18:F18"/>
    <x:mergeCell ref="D19:F20"/>
    <x:mergeCell ref="D22:F22"/>
    <x:mergeCell ref="D23:F23"/>
    <x:mergeCell ref="A25:F25"/>
    <x:mergeCell ref="A26:F27"/>
    <x:mergeCell ref="A29:F29"/>
  </x:mergeCells>
  <x:conditionalFormatting sqref="D23:F23">
    <x:cfRule type="containsText" dxfId="3" priority="1" operator="containsText" text="CONCLUÍDO"/>
  </x:conditionalFormatting>
  <x:dataValidations count="1">
    <x:dataValidation type="list" sqref="C9:C16">
      <x:formula1>"OK,AJUSTAR"</x:formula1>
    </x:dataValidation>
  </x:dataValidations>
  <x:pageMargins left="0.7" right="0.7" top="0.75" bottom="0.75" header="0.3" footer="0.3"/>
</x:worksheet>
</file>